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My Class\ADVANCED EXCEL\"/>
    </mc:Choice>
  </mc:AlternateContent>
  <xr:revisionPtr revIDLastSave="0" documentId="13_ncr:1_{1E35D215-F033-49D5-9650-04ADEBD995A0}" xr6:coauthVersionLast="47" xr6:coauthVersionMax="47" xr10:uidLastSave="{00000000-0000-0000-0000-000000000000}"/>
  <bookViews>
    <workbookView xWindow="-110" yWindow="-110" windowWidth="19420" windowHeight="10420" tabRatio="883" xr2:uid="{00000000-000D-0000-FFFF-FFFF00000000}"/>
  </bookViews>
  <sheets>
    <sheet name="Mathematical function" sheetId="1" r:id="rId1"/>
    <sheet name="Absolute reference" sheetId="4" r:id="rId2"/>
    <sheet name="Relative reference" sheetId="5" r:id="rId3"/>
    <sheet name="Mixed Reference" sheetId="6" r:id="rId4"/>
    <sheet name="Names in Formula" sheetId="16" r:id="rId5"/>
    <sheet name="Cell Names" sheetId="17" r:id="rId6"/>
    <sheet name="Conditionals" sheetId="12" r:id="rId7"/>
    <sheet name="Conditional Formatting" sheetId="13" r:id="rId8"/>
    <sheet name="Square root" sheetId="14" r:id="rId9"/>
    <sheet name="Tracing" sheetId="11" r:id="rId10"/>
    <sheet name="Index function" sheetId="7" r:id="rId11"/>
    <sheet name="Match function" sheetId="8" r:id="rId12"/>
    <sheet name="Index Match" sheetId="15" r:id="rId13"/>
  </sheets>
  <definedNames>
    <definedName name="Central">#REF!</definedName>
    <definedName name="Div_Rate">'Names in Formula'!$C$10</definedName>
    <definedName name="East">#REF!</definedName>
    <definedName name="Feb_Sales">#REF!</definedName>
    <definedName name="Jan_Sale">#REF!</definedName>
    <definedName name="Mar_sales">#REF!</definedName>
    <definedName name="North">#REF!</definedName>
    <definedName name="South">#REF!</definedName>
    <definedName name="Tax_rate">#REF!</definedName>
    <definedName name="West">#REF!</definedName>
  </definedNames>
  <calcPr calcId="191029"/>
</workbook>
</file>

<file path=xl/calcChain.xml><?xml version="1.0" encoding="utf-8"?>
<calcChain xmlns="http://schemas.openxmlformats.org/spreadsheetml/2006/main">
  <c r="D4" i="7" l="1"/>
  <c r="H22" i="12"/>
  <c r="C20" i="7"/>
  <c r="H25" i="12"/>
  <c r="I1" i="12"/>
  <c r="G2" i="8"/>
  <c r="D20" i="7"/>
  <c r="D2" i="7"/>
  <c r="L10" i="11"/>
  <c r="L9" i="11"/>
  <c r="L8" i="11"/>
  <c r="L7" i="11"/>
  <c r="L6" i="11"/>
  <c r="D6" i="11"/>
  <c r="L5" i="11"/>
  <c r="E12" i="14"/>
  <c r="E8" i="14"/>
  <c r="D8" i="14"/>
  <c r="E7" i="14"/>
  <c r="D7" i="14"/>
  <c r="E6" i="14"/>
  <c r="D6" i="14"/>
  <c r="E5" i="14"/>
  <c r="D5" i="14"/>
  <c r="E4" i="14"/>
  <c r="D4" i="14"/>
  <c r="E3" i="14"/>
  <c r="D3" i="14"/>
  <c r="D19" i="12"/>
  <c r="I2" i="12"/>
  <c r="B9" i="17"/>
  <c r="D6" i="16"/>
  <c r="D5" i="16"/>
  <c r="D4" i="16"/>
  <c r="D3" i="16"/>
  <c r="D2" i="16"/>
  <c r="J8" i="6"/>
  <c r="I8" i="6"/>
  <c r="H8" i="6"/>
  <c r="J7" i="6"/>
  <c r="I7" i="6"/>
  <c r="H7" i="6"/>
  <c r="J6" i="6"/>
  <c r="I6" i="6"/>
  <c r="H6" i="6"/>
</calcChain>
</file>

<file path=xl/sharedStrings.xml><?xml version="1.0" encoding="utf-8"?>
<sst xmlns="http://schemas.openxmlformats.org/spreadsheetml/2006/main" count="189" uniqueCount="147">
  <si>
    <t>SL. No</t>
  </si>
  <si>
    <t>Test Score</t>
  </si>
  <si>
    <t>IQ</t>
  </si>
  <si>
    <t>Study Hrs</t>
  </si>
  <si>
    <t>Average</t>
  </si>
  <si>
    <t>STD</t>
  </si>
  <si>
    <t>MAX</t>
  </si>
  <si>
    <t>MIN</t>
  </si>
  <si>
    <t>SUM</t>
  </si>
  <si>
    <t>Hourly Rate</t>
  </si>
  <si>
    <t>Name</t>
  </si>
  <si>
    <t>Hours</t>
  </si>
  <si>
    <t>John</t>
  </si>
  <si>
    <t>Sally</t>
  </si>
  <si>
    <t>Julia</t>
  </si>
  <si>
    <t>Ron</t>
  </si>
  <si>
    <t>Hansh</t>
  </si>
  <si>
    <t>Product</t>
  </si>
  <si>
    <t>Quantity</t>
  </si>
  <si>
    <t>Price/U</t>
  </si>
  <si>
    <t>Amount (Rs)</t>
  </si>
  <si>
    <t>A</t>
  </si>
  <si>
    <t>B</t>
  </si>
  <si>
    <t>C</t>
  </si>
  <si>
    <t>D</t>
  </si>
  <si>
    <t>E</t>
  </si>
  <si>
    <t>Current Pricing</t>
  </si>
  <si>
    <t>Discount Options</t>
  </si>
  <si>
    <t>Type of Rooms</t>
  </si>
  <si>
    <t>Price (Rs)</t>
  </si>
  <si>
    <t>Standard</t>
  </si>
  <si>
    <t>Premium</t>
  </si>
  <si>
    <t>Deluxe</t>
  </si>
  <si>
    <t xml:space="preserve">Company </t>
  </si>
  <si>
    <t>No of Shares</t>
  </si>
  <si>
    <t>EPS</t>
  </si>
  <si>
    <t>Gross Dividend</t>
  </si>
  <si>
    <t>Tax</t>
  </si>
  <si>
    <t>Net Dividend</t>
  </si>
  <si>
    <t>IBM</t>
  </si>
  <si>
    <t>Wipro</t>
  </si>
  <si>
    <t>Ranbaxy</t>
  </si>
  <si>
    <t>Nestle</t>
  </si>
  <si>
    <t>Primal</t>
  </si>
  <si>
    <t>Tax Rate</t>
  </si>
  <si>
    <t>Dividend Rate</t>
  </si>
  <si>
    <t>Monthly Sales (Rs)</t>
  </si>
  <si>
    <t>Regions</t>
  </si>
  <si>
    <t>Jan</t>
  </si>
  <si>
    <t>Feb</t>
  </si>
  <si>
    <t>Mar</t>
  </si>
  <si>
    <t xml:space="preserve"> Regional Total</t>
  </si>
  <si>
    <t>North</t>
  </si>
  <si>
    <t>South</t>
  </si>
  <si>
    <t>West</t>
  </si>
  <si>
    <t>East</t>
  </si>
  <si>
    <t>Central</t>
  </si>
  <si>
    <t>Monthly Total</t>
  </si>
  <si>
    <t>Rs.</t>
  </si>
  <si>
    <t>Employee</t>
  </si>
  <si>
    <t>Analysis</t>
  </si>
  <si>
    <t>Increment Amount</t>
  </si>
  <si>
    <t>Conditional Count</t>
  </si>
  <si>
    <t xml:space="preserve">Total </t>
  </si>
  <si>
    <t>In progress</t>
  </si>
  <si>
    <t>Completed</t>
  </si>
  <si>
    <t>Conditional Sum</t>
  </si>
  <si>
    <t>Compute the total Increment of Employees Whose analysis is reflecting "completed" status</t>
  </si>
  <si>
    <t>Compute the Total no with status "In progress" in terms of Analysis among the employees</t>
  </si>
  <si>
    <t>Qtr 1</t>
  </si>
  <si>
    <t>Qtr 2</t>
  </si>
  <si>
    <t>Qtr 3</t>
  </si>
  <si>
    <t>Qtr 4</t>
  </si>
  <si>
    <t>Lux</t>
  </si>
  <si>
    <t>Pears</t>
  </si>
  <si>
    <t>Ayush</t>
  </si>
  <si>
    <t>Patanjali</t>
  </si>
  <si>
    <t>Medimix</t>
  </si>
  <si>
    <t>Dove</t>
  </si>
  <si>
    <t>Expiry Date</t>
  </si>
  <si>
    <t>Due Date</t>
  </si>
  <si>
    <t>05/15/2018</t>
  </si>
  <si>
    <t>02/28/2018</t>
  </si>
  <si>
    <t>06/30/2018</t>
  </si>
  <si>
    <t>Method 1</t>
  </si>
  <si>
    <t>Method 2</t>
  </si>
  <si>
    <t>Original No</t>
  </si>
  <si>
    <t>Square Root</t>
  </si>
  <si>
    <t>Cube Root</t>
  </si>
  <si>
    <t>Total</t>
  </si>
  <si>
    <t>Tracing Precedents</t>
  </si>
  <si>
    <t>Tracing dependents</t>
  </si>
  <si>
    <t>Fruits</t>
  </si>
  <si>
    <t>Search For</t>
  </si>
  <si>
    <t>Banana</t>
  </si>
  <si>
    <t>Fruit</t>
  </si>
  <si>
    <t>Apple</t>
  </si>
  <si>
    <t>Pineapple</t>
  </si>
  <si>
    <t>Index</t>
  </si>
  <si>
    <t>replacement for Vlookup</t>
  </si>
  <si>
    <t>Orange</t>
  </si>
  <si>
    <t>Match</t>
  </si>
  <si>
    <t>replacement for Hlookup</t>
  </si>
  <si>
    <t>array</t>
  </si>
  <si>
    <t xml:space="preserve">group of rows or columns </t>
  </si>
  <si>
    <t>Price</t>
  </si>
  <si>
    <t>Count</t>
  </si>
  <si>
    <t>Apples</t>
  </si>
  <si>
    <t>Bananas</t>
  </si>
  <si>
    <t>Lemons</t>
  </si>
  <si>
    <t>Oranges</t>
  </si>
  <si>
    <t>Almonds</t>
  </si>
  <si>
    <t>Cashews</t>
  </si>
  <si>
    <t>Hint</t>
  </si>
  <si>
    <t>Row</t>
  </si>
  <si>
    <t>Column</t>
  </si>
  <si>
    <t>Fruit Names</t>
  </si>
  <si>
    <t>Enter Name</t>
  </si>
  <si>
    <t>Position</t>
  </si>
  <si>
    <t>Grapes</t>
  </si>
  <si>
    <t>Guava</t>
  </si>
  <si>
    <t>Strawberry</t>
  </si>
  <si>
    <t>Cherry</t>
  </si>
  <si>
    <t>Lichi</t>
  </si>
  <si>
    <t>Star Fruit</t>
  </si>
  <si>
    <t>Blueberry</t>
  </si>
  <si>
    <t>Scores</t>
  </si>
  <si>
    <t>Math</t>
  </si>
  <si>
    <t>Lang</t>
  </si>
  <si>
    <t>Stats</t>
  </si>
  <si>
    <t>Costing</t>
  </si>
  <si>
    <t>Alex</t>
  </si>
  <si>
    <t>Subject</t>
  </si>
  <si>
    <t>Aron</t>
  </si>
  <si>
    <t>Ruby</t>
  </si>
  <si>
    <t>Clara</t>
  </si>
  <si>
    <t>Sita</t>
  </si>
  <si>
    <t>Gita</t>
  </si>
  <si>
    <t>Huma</t>
  </si>
  <si>
    <t>Banu</t>
  </si>
  <si>
    <t>Shama</t>
  </si>
  <si>
    <t>₹</t>
  </si>
  <si>
    <t>Relative Reference</t>
  </si>
  <si>
    <t>Absolute Reference</t>
  </si>
  <si>
    <t>Gross Pay (₹)</t>
  </si>
  <si>
    <t>Mixed Reference</t>
  </si>
  <si>
    <t>Calculate the following for Test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</si>
</sst>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</numFmts>
  <fonts count="9">
    <font>
      <sz val="11"/>
      <color theme="1"/>
      <name val="Calibri"/>
      <charset val="134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i/>
      <sz val="16"/>
      <color rgb="FFFF0000"/>
      <name val="Times New Roman"/>
      <family val="1"/>
    </font>
    <font>
      <sz val="16"/>
      <color rgb="FFFF0000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D8DAFC"/>
        <bgColor indexed="64"/>
      </patternFill>
    </fill>
    <fill>
      <patternFill patternType="solid">
        <fgColor rgb="FF9DE48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6" borderId="1" xfId="0" applyFont="1" applyFill="1" applyBorder="1"/>
    <xf numFmtId="0" fontId="1" fillId="7" borderId="1" xfId="0" applyFont="1" applyFill="1" applyBorder="1"/>
    <xf numFmtId="0" fontId="5" fillId="8" borderId="0" xfId="0" applyFont="1" applyFill="1"/>
    <xf numFmtId="0" fontId="6" fillId="8" borderId="0" xfId="0" applyFont="1" applyFill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7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5" borderId="1" xfId="0" applyFont="1" applyFill="1" applyBorder="1"/>
    <xf numFmtId="0" fontId="1" fillId="9" borderId="1" xfId="0" applyFont="1" applyFill="1" applyBorder="1"/>
    <xf numFmtId="0" fontId="2" fillId="0" borderId="0" xfId="0" applyFont="1" applyAlignment="1">
      <alignment horizontal="center"/>
    </xf>
    <xf numFmtId="0" fontId="2" fillId="9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4" fontId="4" fillId="0" borderId="0" xfId="0" applyNumberFormat="1" applyFont="1"/>
    <xf numFmtId="0" fontId="1" fillId="9" borderId="0" xfId="0" applyFont="1" applyFill="1"/>
    <xf numFmtId="41" fontId="2" fillId="0" borderId="0" xfId="2" applyFont="1"/>
    <xf numFmtId="0" fontId="1" fillId="7" borderId="0" xfId="0" applyFont="1" applyFill="1"/>
    <xf numFmtId="164" fontId="1" fillId="7" borderId="0" xfId="1" applyNumberFormat="1" applyFont="1" applyFill="1"/>
    <xf numFmtId="164" fontId="2" fillId="0" borderId="0" xfId="1" applyNumberFormat="1" applyFont="1"/>
    <xf numFmtId="164" fontId="2" fillId="0" borderId="0" xfId="0" applyNumberFormat="1" applyFont="1"/>
    <xf numFmtId="0" fontId="7" fillId="0" borderId="0" xfId="0" applyFont="1"/>
    <xf numFmtId="9" fontId="2" fillId="0" borderId="0" xfId="3" applyFont="1"/>
    <xf numFmtId="9" fontId="7" fillId="0" borderId="0" xfId="0" applyNumberFormat="1" applyFont="1"/>
    <xf numFmtId="0" fontId="3" fillId="10" borderId="1" xfId="0" applyFont="1" applyFill="1" applyBorder="1" applyAlignment="1">
      <alignment horizontal="center"/>
    </xf>
    <xf numFmtId="9" fontId="3" fillId="9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11" borderId="0" xfId="0" applyFont="1" applyFill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12" borderId="0" xfId="0" applyFont="1" applyFill="1"/>
    <xf numFmtId="0" fontId="4" fillId="12" borderId="0" xfId="0" applyFont="1" applyFill="1"/>
    <xf numFmtId="0" fontId="3" fillId="12" borderId="1" xfId="0" applyFont="1" applyFill="1" applyBorder="1"/>
    <xf numFmtId="0" fontId="4" fillId="12" borderId="1" xfId="0" applyFont="1" applyFill="1" applyBorder="1"/>
    <xf numFmtId="0" fontId="3" fillId="10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9DE480"/>
      <color rgb="FFD8D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784860</xdr:colOff>
      <xdr:row>0</xdr:row>
      <xdr:rowOff>106680</xdr:rowOff>
    </xdr:from>
    <xdr:to>
      <xdr:col>10</xdr:col>
      <xdr:colOff>1150620</xdr:colOff>
      <xdr:row>2</xdr:row>
      <xdr:rowOff>53340</xdr:rowOff>
    </xdr:to>
    <xdr:pic>
      <xdr:nvPicPr>
        <xdr:cNvPr id="2" name="Picture 1" descr="INDEX Function - Examples in Excel, VBA, &amp; Google Sheets - Automate Excel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2" t="21907" r="10012" b="61856"/>
        <a:stretch>
          <a:fillRect/>
        </a:stretch>
      </xdr:blipFill>
      <xdr:spPr>
        <a:xfrm>
          <a:off x="5541010" y="106680"/>
          <a:ext cx="5515610" cy="461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312420</xdr:colOff>
      <xdr:row>2</xdr:row>
      <xdr:rowOff>114300</xdr:rowOff>
    </xdr:from>
    <xdr:to>
      <xdr:col>17</xdr:col>
      <xdr:colOff>22860</xdr:colOff>
      <xdr:row>3</xdr:row>
      <xdr:rowOff>259080</xdr:rowOff>
    </xdr:to>
    <xdr:pic>
      <xdr:nvPicPr>
        <xdr:cNvPr id="2" name="Picture 1" descr="Fusion Fumée défaut vba find string in array Premier Orbite Prédi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4" t="22165" r="3618" b="63917"/>
        <a:stretch>
          <a:fillRect/>
        </a:stretch>
      </xdr:blipFill>
      <xdr:spPr>
        <a:xfrm>
          <a:off x="7856220" y="628650"/>
          <a:ext cx="5869940" cy="405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34998626667073579"/>
  </sheetPr>
  <dimension ref="A1:H12"/>
  <sheetViews>
    <sheetView tabSelected="1" zoomScale="93" zoomScaleNormal="93" workbookViewId="0">
      <selection activeCell="G2" sqref="G2"/>
    </sheetView>
  </sheetViews>
  <sheetFormatPr defaultColWidth="8.81640625" defaultRowHeight="18"/>
  <cols>
    <col min="1" max="1" width="8.81640625" style="18" customWidth="1"/>
    <col min="2" max="2" width="13.26953125" style="18" customWidth="1"/>
    <col min="3" max="3" width="8.81640625" style="18"/>
    <col min="4" max="4" width="10.81640625" style="18" bestFit="1" customWidth="1"/>
    <col min="5" max="6" width="8.81640625" style="18"/>
    <col min="7" max="7" width="10.08984375" style="18" bestFit="1" customWidth="1"/>
    <col min="8" max="16384" width="8.81640625" style="18"/>
  </cols>
  <sheetData>
    <row r="1" spans="1:8">
      <c r="G1" s="18" t="s">
        <v>146</v>
      </c>
    </row>
    <row r="2" spans="1:8" ht="35">
      <c r="A2" s="44" t="s">
        <v>0</v>
      </c>
      <c r="B2" s="44" t="s">
        <v>1</v>
      </c>
      <c r="C2" s="44" t="s">
        <v>2</v>
      </c>
      <c r="D2" s="44" t="s">
        <v>3</v>
      </c>
    </row>
    <row r="3" spans="1:8">
      <c r="A3" s="45">
        <v>1</v>
      </c>
      <c r="B3" s="46">
        <v>100</v>
      </c>
      <c r="C3" s="46">
        <v>125</v>
      </c>
      <c r="D3" s="46">
        <v>30</v>
      </c>
      <c r="G3" s="50" t="s">
        <v>4</v>
      </c>
      <c r="H3" s="50"/>
    </row>
    <row r="4" spans="1:8">
      <c r="A4" s="45">
        <v>2</v>
      </c>
      <c r="B4" s="46">
        <v>95</v>
      </c>
      <c r="C4" s="46">
        <v>104</v>
      </c>
      <c r="D4" s="46">
        <v>40</v>
      </c>
    </row>
    <row r="5" spans="1:8">
      <c r="A5" s="45">
        <v>3</v>
      </c>
      <c r="B5" s="46">
        <v>92</v>
      </c>
      <c r="C5" s="46">
        <v>110</v>
      </c>
      <c r="D5" s="46">
        <v>25</v>
      </c>
      <c r="G5" s="50" t="s">
        <v>5</v>
      </c>
      <c r="H5" s="50"/>
    </row>
    <row r="6" spans="1:8">
      <c r="A6" s="45">
        <v>4</v>
      </c>
      <c r="B6" s="46">
        <v>90</v>
      </c>
      <c r="C6" s="46">
        <v>105</v>
      </c>
      <c r="D6" s="46">
        <v>20</v>
      </c>
    </row>
    <row r="7" spans="1:8">
      <c r="A7" s="45">
        <v>5</v>
      </c>
      <c r="B7" s="46">
        <v>85</v>
      </c>
      <c r="C7" s="46">
        <v>100</v>
      </c>
      <c r="D7" s="46">
        <v>20</v>
      </c>
      <c r="G7" s="50" t="s">
        <v>6</v>
      </c>
      <c r="H7" s="50"/>
    </row>
    <row r="8" spans="1:8">
      <c r="A8" s="45">
        <v>6</v>
      </c>
      <c r="B8" s="46">
        <v>80</v>
      </c>
      <c r="C8" s="46">
        <v>100</v>
      </c>
      <c r="D8" s="46">
        <v>20</v>
      </c>
    </row>
    <row r="9" spans="1:8">
      <c r="A9" s="45">
        <v>7</v>
      </c>
      <c r="B9" s="46">
        <v>78</v>
      </c>
      <c r="C9" s="46">
        <v>95</v>
      </c>
      <c r="D9" s="46">
        <v>15</v>
      </c>
      <c r="G9" s="50" t="s">
        <v>7</v>
      </c>
      <c r="H9" s="50"/>
    </row>
    <row r="10" spans="1:8">
      <c r="A10" s="45">
        <v>8</v>
      </c>
      <c r="B10" s="46">
        <v>75</v>
      </c>
      <c r="C10" s="46">
        <v>95</v>
      </c>
      <c r="D10" s="46">
        <v>10</v>
      </c>
    </row>
    <row r="11" spans="1:8">
      <c r="A11" s="45">
        <v>9</v>
      </c>
      <c r="B11" s="46">
        <v>72</v>
      </c>
      <c r="C11" s="46">
        <v>85</v>
      </c>
      <c r="D11" s="46">
        <v>0</v>
      </c>
      <c r="G11" s="50" t="s">
        <v>8</v>
      </c>
      <c r="H11" s="50"/>
    </row>
    <row r="12" spans="1:8">
      <c r="A12" s="45">
        <v>10</v>
      </c>
      <c r="B12" s="46">
        <v>65</v>
      </c>
      <c r="C12" s="46">
        <v>90</v>
      </c>
      <c r="D12" s="4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F12"/>
  <sheetViews>
    <sheetView zoomScale="104" zoomScaleNormal="104" workbookViewId="0">
      <selection activeCell="D7" sqref="D7"/>
    </sheetView>
  </sheetViews>
  <sheetFormatPr defaultColWidth="8.81640625" defaultRowHeight="18"/>
  <cols>
    <col min="1" max="1" width="13.36328125" style="18" bestFit="1" customWidth="1"/>
    <col min="2" max="2" width="10.36328125" style="18" customWidth="1"/>
    <col min="3" max="3" width="16.453125" style="18" customWidth="1"/>
    <col min="4" max="5" width="8.81640625" style="18"/>
    <col min="6" max="6" width="13.453125" style="18" customWidth="1"/>
    <col min="7" max="7" width="15.7265625" style="18" customWidth="1"/>
    <col min="8" max="16384" width="8.81640625" style="18"/>
  </cols>
  <sheetData>
    <row r="1" spans="1:6">
      <c r="A1" s="29" t="s">
        <v>143</v>
      </c>
    </row>
    <row r="3" spans="1:6">
      <c r="B3" s="30" t="s">
        <v>141</v>
      </c>
    </row>
    <row r="4" spans="1:6">
      <c r="A4" s="18" t="s">
        <v>9</v>
      </c>
      <c r="B4" s="47">
        <v>22</v>
      </c>
    </row>
    <row r="5" spans="1:6">
      <c r="F5" s="43"/>
    </row>
    <row r="6" spans="1:6">
      <c r="A6"/>
      <c r="B6"/>
      <c r="C6"/>
    </row>
    <row r="7" spans="1:6">
      <c r="A7" s="48" t="s">
        <v>10</v>
      </c>
      <c r="B7" s="48" t="s">
        <v>11</v>
      </c>
      <c r="C7" s="52" t="s">
        <v>144</v>
      </c>
    </row>
    <row r="8" spans="1:6">
      <c r="A8" s="19" t="s">
        <v>12</v>
      </c>
      <c r="B8" s="49">
        <v>5</v>
      </c>
      <c r="C8" s="53"/>
    </row>
    <row r="9" spans="1:6">
      <c r="A9" s="19" t="s">
        <v>13</v>
      </c>
      <c r="B9" s="49">
        <v>2</v>
      </c>
      <c r="C9" s="53"/>
    </row>
    <row r="10" spans="1:6">
      <c r="A10" s="19" t="s">
        <v>14</v>
      </c>
      <c r="B10" s="49">
        <v>5</v>
      </c>
      <c r="C10" s="53"/>
    </row>
    <row r="11" spans="1:6">
      <c r="A11" s="19" t="s">
        <v>15</v>
      </c>
      <c r="B11" s="49">
        <v>9</v>
      </c>
      <c r="C11" s="53"/>
    </row>
    <row r="12" spans="1:6">
      <c r="A12" s="19" t="s">
        <v>16</v>
      </c>
      <c r="B12" s="49">
        <v>8</v>
      </c>
      <c r="C12" s="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D1:G9"/>
  <sheetViews>
    <sheetView zoomScale="95" zoomScaleNormal="95" workbookViewId="0">
      <selection activeCell="I8" sqref="I8"/>
    </sheetView>
  </sheetViews>
  <sheetFormatPr defaultColWidth="8.81640625" defaultRowHeight="18"/>
  <cols>
    <col min="1" max="3" width="8.81640625" style="18"/>
    <col min="4" max="4" width="12.7265625" style="18" customWidth="1"/>
    <col min="5" max="5" width="15.26953125" style="18" customWidth="1"/>
    <col min="6" max="6" width="12" style="18" customWidth="1"/>
    <col min="7" max="7" width="15.26953125" style="18" customWidth="1"/>
    <col min="8" max="16384" width="8.81640625" style="18"/>
  </cols>
  <sheetData>
    <row r="1" spans="4:7">
      <c r="D1" s="29" t="s">
        <v>142</v>
      </c>
    </row>
    <row r="4" spans="4:7">
      <c r="D4" s="29" t="s">
        <v>17</v>
      </c>
      <c r="E4" s="29" t="s">
        <v>18</v>
      </c>
      <c r="F4" s="29" t="s">
        <v>19</v>
      </c>
      <c r="G4" s="50" t="s">
        <v>20</v>
      </c>
    </row>
    <row r="5" spans="4:7">
      <c r="D5" s="18" t="s">
        <v>21</v>
      </c>
      <c r="E5" s="18">
        <v>3</v>
      </c>
      <c r="F5" s="18">
        <v>50</v>
      </c>
      <c r="G5" s="51"/>
    </row>
    <row r="6" spans="4:7">
      <c r="D6" s="18" t="s">
        <v>22</v>
      </c>
      <c r="E6" s="18">
        <v>4</v>
      </c>
      <c r="F6" s="18">
        <v>55</v>
      </c>
      <c r="G6" s="51"/>
    </row>
    <row r="7" spans="4:7">
      <c r="D7" s="18" t="s">
        <v>23</v>
      </c>
      <c r="E7" s="18">
        <v>6</v>
      </c>
      <c r="F7" s="18">
        <v>100</v>
      </c>
      <c r="G7" s="51"/>
    </row>
    <row r="8" spans="4:7">
      <c r="D8" s="18" t="s">
        <v>24</v>
      </c>
      <c r="E8" s="18">
        <v>7</v>
      </c>
      <c r="F8" s="18">
        <v>20</v>
      </c>
      <c r="G8" s="51"/>
    </row>
    <row r="9" spans="4:7">
      <c r="D9" s="18" t="s">
        <v>25</v>
      </c>
      <c r="E9" s="18">
        <v>6</v>
      </c>
      <c r="F9" s="18">
        <v>70</v>
      </c>
      <c r="G9" s="5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J8"/>
  <sheetViews>
    <sheetView zoomScale="82" zoomScaleNormal="82" workbookViewId="0">
      <selection activeCell="H6" sqref="H6"/>
    </sheetView>
  </sheetViews>
  <sheetFormatPr defaultColWidth="8.81640625" defaultRowHeight="18"/>
  <cols>
    <col min="1" max="3" width="8.81640625" style="18"/>
    <col min="4" max="4" width="18" style="18" customWidth="1"/>
    <col min="5" max="5" width="21.08984375" style="18" customWidth="1"/>
    <col min="6" max="7" width="8.81640625" style="18"/>
    <col min="8" max="8" width="19.26953125" style="18" customWidth="1"/>
    <col min="9" max="16384" width="8.81640625" style="18"/>
  </cols>
  <sheetData>
    <row r="1" spans="1:10">
      <c r="A1" s="18" t="s">
        <v>145</v>
      </c>
    </row>
    <row r="4" spans="1:10">
      <c r="D4" s="54" t="s">
        <v>26</v>
      </c>
      <c r="E4" s="55"/>
      <c r="H4" s="56" t="s">
        <v>27</v>
      </c>
      <c r="I4" s="57"/>
      <c r="J4" s="58"/>
    </row>
    <row r="5" spans="1:10">
      <c r="D5" s="41" t="s">
        <v>28</v>
      </c>
      <c r="E5" s="41" t="s">
        <v>29</v>
      </c>
      <c r="H5" s="42">
        <v>0.1</v>
      </c>
      <c r="I5" s="42">
        <v>0.15</v>
      </c>
      <c r="J5" s="42">
        <v>0.2</v>
      </c>
    </row>
    <row r="6" spans="1:10">
      <c r="D6" s="19" t="s">
        <v>30</v>
      </c>
      <c r="E6" s="19">
        <v>100</v>
      </c>
      <c r="H6" s="19">
        <f>$E6*(1-H$5)</f>
        <v>90</v>
      </c>
      <c r="I6" s="19">
        <f t="shared" ref="I6:J8" si="0">$E6*(1-I$5)</f>
        <v>85</v>
      </c>
      <c r="J6" s="19">
        <f t="shared" si="0"/>
        <v>80</v>
      </c>
    </row>
    <row r="7" spans="1:10">
      <c r="D7" s="19" t="s">
        <v>31</v>
      </c>
      <c r="E7" s="19">
        <v>200</v>
      </c>
      <c r="H7" s="19">
        <f>$E7*(1-H$5)</f>
        <v>180</v>
      </c>
      <c r="I7" s="19">
        <f t="shared" si="0"/>
        <v>170</v>
      </c>
      <c r="J7" s="19">
        <f t="shared" si="0"/>
        <v>160</v>
      </c>
    </row>
    <row r="8" spans="1:10">
      <c r="D8" s="19" t="s">
        <v>32</v>
      </c>
      <c r="E8" s="19">
        <v>300</v>
      </c>
      <c r="H8" s="19">
        <f>$E8*(1-H$5)</f>
        <v>270</v>
      </c>
      <c r="I8" s="19">
        <f t="shared" si="0"/>
        <v>255</v>
      </c>
      <c r="J8" s="19">
        <f t="shared" si="0"/>
        <v>240</v>
      </c>
    </row>
  </sheetData>
  <mergeCells count="2">
    <mergeCell ref="D4:E4"/>
    <mergeCell ref="H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499984740745262"/>
  </sheetPr>
  <dimension ref="A1:I10"/>
  <sheetViews>
    <sheetView workbookViewId="0">
      <selection activeCell="E2" sqref="E2"/>
    </sheetView>
  </sheetViews>
  <sheetFormatPr defaultColWidth="8.81640625" defaultRowHeight="21"/>
  <cols>
    <col min="1" max="1" width="13.26953125" style="38" customWidth="1"/>
    <col min="2" max="2" width="20.54296875" style="38" customWidth="1"/>
    <col min="3" max="3" width="14.26953125" style="38" customWidth="1"/>
    <col min="4" max="4" width="25" style="38" customWidth="1"/>
    <col min="5" max="5" width="18.54296875" style="38" customWidth="1"/>
    <col min="6" max="6" width="21.7265625" style="38" customWidth="1"/>
    <col min="7" max="16384" width="8.81640625" style="38"/>
  </cols>
  <sheetData>
    <row r="1" spans="1:9">
      <c r="A1" s="20" t="s">
        <v>33</v>
      </c>
      <c r="B1" s="20" t="s">
        <v>34</v>
      </c>
      <c r="C1" s="20" t="s">
        <v>35</v>
      </c>
      <c r="D1" s="20" t="s">
        <v>36</v>
      </c>
      <c r="E1" s="20" t="s">
        <v>37</v>
      </c>
      <c r="F1" s="20" t="s">
        <v>38</v>
      </c>
      <c r="G1" s="20"/>
      <c r="H1" s="20"/>
      <c r="I1" s="20"/>
    </row>
    <row r="2" spans="1:9">
      <c r="A2" s="2" t="s">
        <v>39</v>
      </c>
      <c r="B2" s="2">
        <v>250</v>
      </c>
      <c r="C2" s="2">
        <v>10</v>
      </c>
      <c r="D2" s="2">
        <f>B2*C2*Div_Rate</f>
        <v>250</v>
      </c>
      <c r="E2" s="2"/>
      <c r="F2" s="2"/>
    </row>
    <row r="3" spans="1:9">
      <c r="A3" s="2" t="s">
        <v>40</v>
      </c>
      <c r="B3" s="2">
        <v>50</v>
      </c>
      <c r="C3" s="2">
        <v>15</v>
      </c>
      <c r="D3" s="2">
        <f>B3*C3*Div_Rate</f>
        <v>75</v>
      </c>
      <c r="E3" s="2"/>
      <c r="F3" s="2"/>
    </row>
    <row r="4" spans="1:9">
      <c r="A4" s="2" t="s">
        <v>41</v>
      </c>
      <c r="B4" s="2">
        <v>150</v>
      </c>
      <c r="C4" s="2">
        <v>12</v>
      </c>
      <c r="D4" s="2">
        <f>B4*C4*Div_Rate</f>
        <v>180</v>
      </c>
      <c r="E4" s="2"/>
      <c r="F4" s="2"/>
    </row>
    <row r="5" spans="1:9">
      <c r="A5" s="2" t="s">
        <v>42</v>
      </c>
      <c r="B5" s="2">
        <v>100</v>
      </c>
      <c r="C5" s="2">
        <v>25</v>
      </c>
      <c r="D5" s="2">
        <f>B5*C5*Div_Rate</f>
        <v>250</v>
      </c>
      <c r="E5" s="2"/>
      <c r="F5" s="2"/>
    </row>
    <row r="6" spans="1:9">
      <c r="A6" s="2" t="s">
        <v>43</v>
      </c>
      <c r="B6" s="2">
        <v>120</v>
      </c>
      <c r="C6" s="2">
        <v>30</v>
      </c>
      <c r="D6" s="2">
        <f>B6*C6*Div_Rate</f>
        <v>360</v>
      </c>
      <c r="E6" s="2"/>
      <c r="F6" s="2"/>
    </row>
    <row r="7" spans="1:9">
      <c r="A7" s="2"/>
      <c r="B7" s="2"/>
      <c r="C7" s="2"/>
    </row>
    <row r="9" spans="1:9">
      <c r="B9" s="20" t="s">
        <v>44</v>
      </c>
      <c r="C9" s="39">
        <v>0.15</v>
      </c>
    </row>
    <row r="10" spans="1:9">
      <c r="B10" s="38" t="s">
        <v>45</v>
      </c>
      <c r="C10" s="40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F9"/>
  <sheetViews>
    <sheetView workbookViewId="0">
      <selection activeCell="B9" sqref="B9"/>
    </sheetView>
  </sheetViews>
  <sheetFormatPr defaultColWidth="8.81640625" defaultRowHeight="20.5"/>
  <cols>
    <col min="1" max="1" width="19.08984375" style="2" customWidth="1"/>
    <col min="2" max="2" width="19.26953125" style="2" customWidth="1"/>
    <col min="3" max="4" width="18.54296875" style="2" customWidth="1"/>
    <col min="5" max="5" width="8.81640625" style="2"/>
    <col min="6" max="6" width="22.26953125" style="2" customWidth="1"/>
    <col min="7" max="16384" width="8.81640625" style="2"/>
  </cols>
  <sheetData>
    <row r="1" spans="1:6">
      <c r="B1" s="59" t="s">
        <v>46</v>
      </c>
      <c r="C1" s="59"/>
      <c r="D1" s="59"/>
      <c r="E1" s="59"/>
      <c r="F1" s="59"/>
    </row>
    <row r="2" spans="1:6">
      <c r="A2" s="1" t="s">
        <v>47</v>
      </c>
      <c r="B2" s="20" t="s">
        <v>48</v>
      </c>
      <c r="C2" s="20" t="s">
        <v>49</v>
      </c>
      <c r="D2" s="20" t="s">
        <v>50</v>
      </c>
      <c r="F2" s="20" t="s">
        <v>51</v>
      </c>
    </row>
    <row r="3" spans="1:6">
      <c r="A3" s="2" t="s">
        <v>52</v>
      </c>
      <c r="B3" s="36">
        <v>12500</v>
      </c>
      <c r="C3" s="36">
        <v>3500</v>
      </c>
      <c r="D3" s="36">
        <v>4250</v>
      </c>
    </row>
    <row r="4" spans="1:6">
      <c r="A4" s="2" t="s">
        <v>53</v>
      </c>
      <c r="B4" s="36">
        <v>6000</v>
      </c>
      <c r="C4" s="36">
        <v>4500</v>
      </c>
      <c r="D4" s="36">
        <v>6500</v>
      </c>
    </row>
    <row r="5" spans="1:6">
      <c r="A5" s="2" t="s">
        <v>54</v>
      </c>
      <c r="B5" s="36">
        <v>6500</v>
      </c>
      <c r="C5" s="36">
        <v>9500</v>
      </c>
      <c r="D5" s="36">
        <v>9750</v>
      </c>
    </row>
    <row r="6" spans="1:6">
      <c r="A6" s="2" t="s">
        <v>55</v>
      </c>
      <c r="B6" s="36">
        <v>10500</v>
      </c>
      <c r="C6" s="36">
        <v>8250</v>
      </c>
      <c r="D6" s="36">
        <v>12400</v>
      </c>
    </row>
    <row r="7" spans="1:6">
      <c r="A7" s="2" t="s">
        <v>56</v>
      </c>
      <c r="B7" s="36">
        <v>11500</v>
      </c>
      <c r="C7" s="36">
        <v>13750</v>
      </c>
      <c r="D7" s="36">
        <v>5260</v>
      </c>
    </row>
    <row r="9" spans="1:6">
      <c r="A9" s="20" t="s">
        <v>57</v>
      </c>
      <c r="B9" s="37">
        <f>SUM(B3:B7)</f>
        <v>47000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1:I25"/>
  <sheetViews>
    <sheetView topLeftCell="A10" workbookViewId="0">
      <selection activeCell="C14" sqref="C14"/>
    </sheetView>
  </sheetViews>
  <sheetFormatPr defaultColWidth="8.81640625" defaultRowHeight="20.5"/>
  <cols>
    <col min="1" max="1" width="8.81640625" style="2"/>
    <col min="2" max="2" width="25.54296875" style="2" customWidth="1"/>
    <col min="3" max="3" width="20" style="2" customWidth="1"/>
    <col min="4" max="4" width="28.26953125" style="2" customWidth="1"/>
    <col min="5" max="6" width="8.81640625" style="2"/>
    <col min="7" max="7" width="26.08984375" style="2" customWidth="1"/>
    <col min="8" max="8" width="18.26953125" style="2" customWidth="1"/>
    <col min="9" max="9" width="15.453125" style="2" customWidth="1"/>
    <col min="10" max="16384" width="8.81640625" style="2"/>
  </cols>
  <sheetData>
    <row r="1" spans="2:9">
      <c r="D1" s="20" t="s">
        <v>58</v>
      </c>
      <c r="I1" s="2" t="e">
        <f>countif</f>
        <v>#NAME?</v>
      </c>
    </row>
    <row r="2" spans="2:9">
      <c r="B2" s="20" t="s">
        <v>59</v>
      </c>
      <c r="C2" s="20" t="s">
        <v>60</v>
      </c>
      <c r="D2" s="20" t="s">
        <v>61</v>
      </c>
      <c r="G2" s="32" t="s">
        <v>62</v>
      </c>
      <c r="H2" s="32" t="s">
        <v>63</v>
      </c>
      <c r="I2" s="32">
        <f>COUNTIFS(C3:C17,"In progress")</f>
        <v>8</v>
      </c>
    </row>
    <row r="3" spans="2:9">
      <c r="B3" s="2">
        <v>1</v>
      </c>
      <c r="C3" s="2" t="s">
        <v>64</v>
      </c>
      <c r="D3" s="33">
        <v>2500</v>
      </c>
    </row>
    <row r="4" spans="2:9">
      <c r="B4" s="2">
        <v>2</v>
      </c>
      <c r="C4" s="2" t="s">
        <v>64</v>
      </c>
      <c r="D4" s="33">
        <v>3500</v>
      </c>
    </row>
    <row r="5" spans="2:9">
      <c r="B5" s="2">
        <v>3</v>
      </c>
      <c r="C5" s="2" t="s">
        <v>64</v>
      </c>
      <c r="D5" s="33">
        <v>1500</v>
      </c>
    </row>
    <row r="6" spans="2:9">
      <c r="B6" s="2">
        <v>4</v>
      </c>
      <c r="C6" s="2" t="s">
        <v>64</v>
      </c>
      <c r="D6" s="33">
        <v>1000</v>
      </c>
    </row>
    <row r="7" spans="2:9">
      <c r="B7" s="2">
        <v>5</v>
      </c>
      <c r="C7" s="2" t="s">
        <v>64</v>
      </c>
      <c r="D7" s="33">
        <v>4500</v>
      </c>
    </row>
    <row r="8" spans="2:9">
      <c r="B8" s="2">
        <v>6</v>
      </c>
      <c r="C8" s="2" t="s">
        <v>65</v>
      </c>
      <c r="D8" s="33">
        <v>6500</v>
      </c>
    </row>
    <row r="9" spans="2:9">
      <c r="B9" s="2">
        <v>7</v>
      </c>
      <c r="C9" s="2" t="s">
        <v>65</v>
      </c>
      <c r="D9" s="33">
        <v>7500</v>
      </c>
    </row>
    <row r="10" spans="2:9">
      <c r="B10" s="2">
        <v>8</v>
      </c>
      <c r="C10" s="2" t="s">
        <v>65</v>
      </c>
      <c r="D10" s="33">
        <v>8500</v>
      </c>
    </row>
    <row r="11" spans="2:9">
      <c r="B11" s="2">
        <v>9</v>
      </c>
      <c r="C11" s="2" t="s">
        <v>65</v>
      </c>
      <c r="D11" s="33">
        <v>9500</v>
      </c>
    </row>
    <row r="12" spans="2:9">
      <c r="B12" s="2">
        <v>10</v>
      </c>
      <c r="C12" s="2" t="s">
        <v>65</v>
      </c>
      <c r="D12" s="33">
        <v>2500</v>
      </c>
    </row>
    <row r="13" spans="2:9">
      <c r="B13" s="2">
        <v>11</v>
      </c>
      <c r="C13" s="2" t="s">
        <v>64</v>
      </c>
      <c r="D13" s="33">
        <v>1500</v>
      </c>
    </row>
    <row r="14" spans="2:9">
      <c r="B14" s="2">
        <v>12</v>
      </c>
      <c r="C14" s="2" t="s">
        <v>64</v>
      </c>
      <c r="D14" s="33">
        <v>6500</v>
      </c>
    </row>
    <row r="15" spans="2:9">
      <c r="B15" s="2">
        <v>13</v>
      </c>
      <c r="C15" s="2" t="s">
        <v>64</v>
      </c>
      <c r="D15" s="33">
        <v>4500</v>
      </c>
    </row>
    <row r="16" spans="2:9">
      <c r="B16" s="2">
        <v>14</v>
      </c>
      <c r="C16" s="2" t="s">
        <v>65</v>
      </c>
      <c r="D16" s="33">
        <v>4000</v>
      </c>
    </row>
    <row r="17" spans="2:8">
      <c r="B17" s="2">
        <v>15</v>
      </c>
      <c r="C17" s="2" t="s">
        <v>65</v>
      </c>
      <c r="D17" s="33">
        <v>2000</v>
      </c>
    </row>
    <row r="19" spans="2:8">
      <c r="B19" s="34" t="s">
        <v>66</v>
      </c>
      <c r="C19" s="34" t="s">
        <v>63</v>
      </c>
      <c r="D19" s="35">
        <f>SUMIF(C3:C17,"completed",D3:D17)</f>
        <v>40500</v>
      </c>
    </row>
    <row r="22" spans="2:8">
      <c r="B22" s="2" t="s">
        <v>67</v>
      </c>
      <c r="H22" s="2">
        <f>SUMIF(C3:C17,"Completed ",D3:D17)</f>
        <v>0</v>
      </c>
    </row>
    <row r="24" spans="2:8">
      <c r="B24" s="2" t="s">
        <v>68</v>
      </c>
    </row>
    <row r="25" spans="2:8">
      <c r="G25" s="2" t="s">
        <v>64</v>
      </c>
      <c r="H25" s="2">
        <f>COUNTIF(C3:C17,G25)</f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22"/>
  <sheetViews>
    <sheetView workbookViewId="0">
      <selection activeCell="C14" sqref="C14"/>
    </sheetView>
  </sheetViews>
  <sheetFormatPr defaultColWidth="8.81640625" defaultRowHeight="18"/>
  <cols>
    <col min="1" max="1" width="16.81640625" style="18" customWidth="1"/>
    <col min="2" max="2" width="16" style="18" customWidth="1"/>
    <col min="3" max="3" width="17.54296875" style="18" customWidth="1"/>
    <col min="4" max="4" width="14.26953125" style="18" customWidth="1"/>
    <col min="5" max="5" width="15.81640625" style="18" customWidth="1"/>
    <col min="6" max="6" width="12.54296875" style="18" customWidth="1"/>
    <col min="7" max="16384" width="8.81640625" style="18"/>
  </cols>
  <sheetData>
    <row r="1" spans="1:5" s="29" customFormat="1" ht="17.5">
      <c r="A1" s="30" t="s">
        <v>17</v>
      </c>
      <c r="B1" s="30" t="s">
        <v>69</v>
      </c>
      <c r="C1" s="30" t="s">
        <v>70</v>
      </c>
      <c r="D1" s="30" t="s">
        <v>71</v>
      </c>
      <c r="E1" s="30" t="s">
        <v>72</v>
      </c>
    </row>
    <row r="2" spans="1:5">
      <c r="A2" s="18" t="s">
        <v>73</v>
      </c>
      <c r="B2" s="18">
        <v>184</v>
      </c>
      <c r="C2" s="18">
        <v>139</v>
      </c>
      <c r="D2" s="18">
        <v>170</v>
      </c>
      <c r="E2" s="18">
        <v>138</v>
      </c>
    </row>
    <row r="3" spans="1:5">
      <c r="A3" s="18" t="s">
        <v>74</v>
      </c>
      <c r="B3" s="18">
        <v>65</v>
      </c>
      <c r="C3" s="18">
        <v>162</v>
      </c>
      <c r="D3" s="18">
        <v>167</v>
      </c>
      <c r="E3" s="18">
        <v>77</v>
      </c>
    </row>
    <row r="4" spans="1:5">
      <c r="A4" s="18" t="s">
        <v>75</v>
      </c>
      <c r="B4" s="18">
        <v>74</v>
      </c>
      <c r="C4" s="18">
        <v>92</v>
      </c>
      <c r="D4" s="18">
        <v>141</v>
      </c>
      <c r="E4" s="18">
        <v>94</v>
      </c>
    </row>
    <row r="5" spans="1:5">
      <c r="A5" s="18" t="s">
        <v>76</v>
      </c>
      <c r="B5" s="18">
        <v>121</v>
      </c>
      <c r="C5" s="18">
        <v>163</v>
      </c>
      <c r="D5" s="18">
        <v>107</v>
      </c>
      <c r="E5" s="18">
        <v>51</v>
      </c>
    </row>
    <row r="6" spans="1:5">
      <c r="A6" s="18" t="s">
        <v>77</v>
      </c>
      <c r="B6" s="18">
        <v>158</v>
      </c>
      <c r="C6" s="18">
        <v>183</v>
      </c>
      <c r="D6" s="18">
        <v>183</v>
      </c>
      <c r="E6" s="18">
        <v>154</v>
      </c>
    </row>
    <row r="7" spans="1:5">
      <c r="A7" s="18" t="s">
        <v>78</v>
      </c>
      <c r="B7" s="18">
        <v>191</v>
      </c>
      <c r="C7" s="18">
        <v>136</v>
      </c>
      <c r="D7" s="18">
        <v>63</v>
      </c>
      <c r="E7" s="18">
        <v>79</v>
      </c>
    </row>
    <row r="13" spans="1:5">
      <c r="A13" s="30" t="s">
        <v>79</v>
      </c>
      <c r="B13" s="30" t="s">
        <v>80</v>
      </c>
      <c r="C13" s="30"/>
    </row>
    <row r="14" spans="1:5">
      <c r="A14" s="31" t="s">
        <v>81</v>
      </c>
      <c r="B14" s="31" t="s">
        <v>81</v>
      </c>
      <c r="C14" s="31"/>
    </row>
    <row r="15" spans="1:5">
      <c r="A15" s="18" t="s">
        <v>82</v>
      </c>
      <c r="B15" s="18" t="s">
        <v>82</v>
      </c>
      <c r="C15" s="31"/>
    </row>
    <row r="16" spans="1:5">
      <c r="A16" s="18" t="s">
        <v>83</v>
      </c>
      <c r="B16" s="18" t="s">
        <v>83</v>
      </c>
      <c r="C16" s="31"/>
    </row>
    <row r="17" spans="3:3">
      <c r="C17" s="31"/>
    </row>
    <row r="18" spans="3:3">
      <c r="C18" s="31"/>
    </row>
    <row r="19" spans="3:3">
      <c r="C19" s="31"/>
    </row>
    <row r="20" spans="3:3">
      <c r="C20" s="31"/>
    </row>
    <row r="21" spans="3:3">
      <c r="C21" s="31"/>
    </row>
    <row r="22" spans="3:3">
      <c r="C22" s="31"/>
    </row>
  </sheetData>
  <conditionalFormatting sqref="A14 A16">
    <cfRule type="cellIs" dxfId="0" priority="1" operator="lessThan">
      <formula>"04/16/2018"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B1:E12"/>
  <sheetViews>
    <sheetView workbookViewId="0">
      <selection activeCell="G12" sqref="G12"/>
    </sheetView>
  </sheetViews>
  <sheetFormatPr defaultColWidth="8.81640625" defaultRowHeight="20.5"/>
  <cols>
    <col min="1" max="1" width="8.81640625" style="2"/>
    <col min="2" max="2" width="10.7265625" style="2" customWidth="1"/>
    <col min="3" max="3" width="22.26953125" style="2" customWidth="1"/>
    <col min="4" max="5" width="17.54296875" style="2" customWidth="1"/>
    <col min="6" max="16384" width="8.81640625" style="2"/>
  </cols>
  <sheetData>
    <row r="1" spans="2:5">
      <c r="C1" s="1"/>
      <c r="D1" s="20" t="s">
        <v>84</v>
      </c>
      <c r="E1" s="20" t="s">
        <v>85</v>
      </c>
    </row>
    <row r="2" spans="2:5">
      <c r="B2" s="21" t="s">
        <v>0</v>
      </c>
      <c r="C2" s="21" t="s">
        <v>86</v>
      </c>
      <c r="D2" s="22" t="s">
        <v>87</v>
      </c>
      <c r="E2" s="23" t="s">
        <v>87</v>
      </c>
    </row>
    <row r="3" spans="2:5">
      <c r="B3" s="6">
        <v>1</v>
      </c>
      <c r="C3" s="6">
        <v>1</v>
      </c>
      <c r="D3" s="24">
        <f>SQRT(C3)</f>
        <v>1</v>
      </c>
      <c r="E3" s="25">
        <f>POWER(C3,1/2)</f>
        <v>1</v>
      </c>
    </row>
    <row r="4" spans="2:5">
      <c r="B4" s="6">
        <v>2</v>
      </c>
      <c r="C4" s="6">
        <v>4</v>
      </c>
      <c r="D4" s="24">
        <f t="shared" ref="D4:D8" si="0">SQRT(C4)</f>
        <v>2</v>
      </c>
      <c r="E4" s="25">
        <f t="shared" ref="E4:E8" si="1">POWER(C4,1/2)</f>
        <v>2</v>
      </c>
    </row>
    <row r="5" spans="2:5">
      <c r="B5" s="6">
        <v>3</v>
      </c>
      <c r="C5" s="6">
        <v>9</v>
      </c>
      <c r="D5" s="24">
        <f t="shared" si="0"/>
        <v>3</v>
      </c>
      <c r="E5" s="25">
        <f t="shared" si="1"/>
        <v>3</v>
      </c>
    </row>
    <row r="6" spans="2:5">
      <c r="B6" s="6">
        <v>4</v>
      </c>
      <c r="C6" s="6">
        <v>16</v>
      </c>
      <c r="D6" s="24">
        <f t="shared" si="0"/>
        <v>4</v>
      </c>
      <c r="E6" s="25">
        <f t="shared" si="1"/>
        <v>4</v>
      </c>
    </row>
    <row r="7" spans="2:5">
      <c r="B7" s="6">
        <v>5</v>
      </c>
      <c r="C7" s="6">
        <v>25</v>
      </c>
      <c r="D7" s="24">
        <f t="shared" si="0"/>
        <v>5</v>
      </c>
      <c r="E7" s="25">
        <f t="shared" si="1"/>
        <v>5</v>
      </c>
    </row>
    <row r="8" spans="2:5">
      <c r="B8" s="6">
        <v>6</v>
      </c>
      <c r="C8" s="6">
        <v>36</v>
      </c>
      <c r="D8" s="24">
        <f t="shared" si="0"/>
        <v>6</v>
      </c>
      <c r="E8" s="25">
        <f t="shared" si="1"/>
        <v>6</v>
      </c>
    </row>
    <row r="11" spans="2:5">
      <c r="C11" s="21" t="s">
        <v>86</v>
      </c>
      <c r="E11" s="26" t="s">
        <v>88</v>
      </c>
    </row>
    <row r="12" spans="2:5">
      <c r="C12" s="27">
        <v>125</v>
      </c>
      <c r="E12" s="28">
        <f>POWER(C12,1/3)</f>
        <v>5.0000000000000009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39991454817346722"/>
  </sheetPr>
  <dimension ref="C3:M12"/>
  <sheetViews>
    <sheetView workbookViewId="0">
      <selection activeCell="L6" sqref="L6"/>
    </sheetView>
  </sheetViews>
  <sheetFormatPr defaultColWidth="8.81640625" defaultRowHeight="18"/>
  <cols>
    <col min="1" max="2" width="8.81640625" style="18"/>
    <col min="3" max="3" width="13.08984375" style="18" customWidth="1"/>
    <col min="4" max="4" width="10.54296875" style="18" customWidth="1"/>
    <col min="5" max="10" width="8.81640625" style="18"/>
    <col min="11" max="11" width="13" style="18" customWidth="1"/>
    <col min="12" max="16384" width="8.81640625" style="18"/>
  </cols>
  <sheetData>
    <row r="3" spans="3:13">
      <c r="C3" s="19">
        <v>10</v>
      </c>
      <c r="D3" s="19">
        <v>20</v>
      </c>
      <c r="E3" s="19">
        <v>30</v>
      </c>
      <c r="F3" s="19">
        <v>40</v>
      </c>
      <c r="J3" s="19">
        <v>10</v>
      </c>
      <c r="K3" s="19"/>
      <c r="L3" s="19"/>
      <c r="M3" s="19"/>
    </row>
    <row r="4" spans="3:13">
      <c r="C4" s="19"/>
      <c r="D4" s="19"/>
      <c r="E4" s="19"/>
      <c r="F4" s="19"/>
      <c r="J4" s="19"/>
      <c r="K4" s="19"/>
      <c r="L4" s="19"/>
      <c r="M4" s="19"/>
    </row>
    <row r="5" spans="3:13">
      <c r="C5" s="19"/>
      <c r="D5" s="19"/>
      <c r="E5" s="19"/>
      <c r="F5" s="19"/>
      <c r="J5" s="19"/>
      <c r="K5" s="19">
        <v>5</v>
      </c>
      <c r="L5" s="19">
        <f>$J$3*K5</f>
        <v>50</v>
      </c>
      <c r="M5" s="19"/>
    </row>
    <row r="6" spans="3:13">
      <c r="C6" s="19" t="s">
        <v>89</v>
      </c>
      <c r="D6" s="19">
        <f>SUM(C3,D3,E3,F3)</f>
        <v>100</v>
      </c>
      <c r="E6" s="19"/>
      <c r="F6" s="19"/>
      <c r="J6" s="19"/>
      <c r="K6" s="19">
        <v>6</v>
      </c>
      <c r="L6" s="19">
        <f t="shared" ref="L6:L10" si="0">$J$3*K6</f>
        <v>60</v>
      </c>
      <c r="M6" s="19"/>
    </row>
    <row r="7" spans="3:13">
      <c r="C7" s="19"/>
      <c r="D7" s="19"/>
      <c r="E7" s="19"/>
      <c r="F7" s="19"/>
      <c r="J7" s="19"/>
      <c r="K7" s="19">
        <v>7</v>
      </c>
      <c r="L7" s="19">
        <f t="shared" si="0"/>
        <v>70</v>
      </c>
      <c r="M7" s="19"/>
    </row>
    <row r="8" spans="3:13">
      <c r="C8" s="19"/>
      <c r="D8" s="19"/>
      <c r="E8" s="19"/>
      <c r="F8" s="19"/>
      <c r="J8" s="19"/>
      <c r="K8" s="19">
        <v>8</v>
      </c>
      <c r="L8" s="19">
        <f t="shared" si="0"/>
        <v>80</v>
      </c>
      <c r="M8" s="19"/>
    </row>
    <row r="9" spans="3:13">
      <c r="J9" s="19"/>
      <c r="K9" s="19">
        <v>9</v>
      </c>
      <c r="L9" s="19">
        <f t="shared" si="0"/>
        <v>90</v>
      </c>
      <c r="M9" s="19"/>
    </row>
    <row r="10" spans="3:13">
      <c r="C10" s="60" t="s">
        <v>90</v>
      </c>
      <c r="D10" s="60"/>
      <c r="J10" s="19"/>
      <c r="K10" s="19">
        <v>10</v>
      </c>
      <c r="L10" s="19">
        <f t="shared" si="0"/>
        <v>100</v>
      </c>
      <c r="M10" s="19"/>
    </row>
    <row r="12" spans="3:13">
      <c r="J12" s="61" t="s">
        <v>91</v>
      </c>
      <c r="K12" s="61"/>
    </row>
  </sheetData>
  <mergeCells count="2">
    <mergeCell ref="C10:D10"/>
    <mergeCell ref="J12:K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J23"/>
  <sheetViews>
    <sheetView topLeftCell="A3" workbookViewId="0">
      <selection activeCell="G14" sqref="G14"/>
    </sheetView>
  </sheetViews>
  <sheetFormatPr defaultColWidth="8.81640625" defaultRowHeight="20.5"/>
  <cols>
    <col min="1" max="2" width="15.54296875" style="2" customWidth="1"/>
    <col min="3" max="3" width="20.7265625" style="2" customWidth="1"/>
    <col min="4" max="4" width="16.26953125" style="2" customWidth="1"/>
    <col min="5" max="5" width="17" style="2" customWidth="1"/>
    <col min="6" max="7" width="8.81640625" style="2"/>
    <col min="8" max="8" width="21.453125" style="2" customWidth="1"/>
    <col min="9" max="10" width="8.81640625" style="2"/>
    <col min="11" max="11" width="17.26953125" style="2" customWidth="1"/>
    <col min="12" max="12" width="8.81640625" style="2"/>
    <col min="13" max="13" width="20.08984375" style="2" customWidth="1"/>
    <col min="14" max="14" width="14.7265625" style="2" customWidth="1"/>
    <col min="15" max="16384" width="8.81640625" style="2"/>
  </cols>
  <sheetData>
    <row r="1" spans="1:10">
      <c r="A1" s="10" t="s">
        <v>92</v>
      </c>
      <c r="C1" s="11" t="s">
        <v>93</v>
      </c>
      <c r="D1" s="12">
        <v>3</v>
      </c>
      <c r="E1" s="2">
        <v>1</v>
      </c>
    </row>
    <row r="2" spans="1:10">
      <c r="A2" s="9" t="s">
        <v>94</v>
      </c>
      <c r="C2" s="11" t="s">
        <v>95</v>
      </c>
      <c r="D2" s="12" t="str">
        <f>INDEX(A2:A5,D1,1)</f>
        <v>Pineapple</v>
      </c>
    </row>
    <row r="3" spans="1:10">
      <c r="A3" s="9" t="s">
        <v>96</v>
      </c>
    </row>
    <row r="4" spans="1:10">
      <c r="A4" s="9" t="s">
        <v>97</v>
      </c>
      <c r="D4" s="2" t="str">
        <f>INDEX(A1:A5,2,1)</f>
        <v>Banana</v>
      </c>
      <c r="I4" s="2" t="s">
        <v>98</v>
      </c>
      <c r="J4" s="2" t="s">
        <v>99</v>
      </c>
    </row>
    <row r="5" spans="1:10">
      <c r="A5" s="9" t="s">
        <v>100</v>
      </c>
      <c r="B5" s="13"/>
      <c r="I5" s="2" t="s">
        <v>101</v>
      </c>
      <c r="J5" s="2" t="s">
        <v>102</v>
      </c>
    </row>
    <row r="6" spans="1:10">
      <c r="I6" s="2" t="s">
        <v>103</v>
      </c>
      <c r="J6" s="2" t="s">
        <v>104</v>
      </c>
    </row>
    <row r="9" spans="1:10">
      <c r="B9" s="10" t="s">
        <v>95</v>
      </c>
      <c r="C9" s="10" t="s">
        <v>105</v>
      </c>
      <c r="D9" s="10" t="s">
        <v>106</v>
      </c>
    </row>
    <row r="10" spans="1:10">
      <c r="B10" s="6" t="s">
        <v>107</v>
      </c>
      <c r="C10" s="6">
        <v>8</v>
      </c>
      <c r="D10" s="6">
        <v>121</v>
      </c>
    </row>
    <row r="11" spans="1:10">
      <c r="B11" s="6" t="s">
        <v>108</v>
      </c>
      <c r="C11" s="6">
        <v>5</v>
      </c>
      <c r="D11" s="6">
        <v>130</v>
      </c>
    </row>
    <row r="12" spans="1:10">
      <c r="B12" s="6" t="s">
        <v>109</v>
      </c>
      <c r="C12" s="6">
        <v>6</v>
      </c>
      <c r="D12" s="6">
        <v>132</v>
      </c>
    </row>
    <row r="13" spans="1:10">
      <c r="B13" s="6" t="s">
        <v>110</v>
      </c>
      <c r="C13" s="6">
        <v>5</v>
      </c>
      <c r="D13" s="6">
        <v>146</v>
      </c>
      <c r="F13" s="14" t="s">
        <v>95</v>
      </c>
      <c r="G13" s="14"/>
    </row>
    <row r="14" spans="1:10">
      <c r="B14" s="6" t="s">
        <v>74</v>
      </c>
      <c r="C14" s="6">
        <v>8</v>
      </c>
      <c r="D14" s="6">
        <v>124</v>
      </c>
      <c r="F14" s="14" t="s">
        <v>105</v>
      </c>
      <c r="G14" s="14"/>
    </row>
    <row r="15" spans="1:10">
      <c r="B15" s="6" t="s">
        <v>111</v>
      </c>
      <c r="C15" s="6">
        <v>4</v>
      </c>
      <c r="D15" s="6">
        <v>146</v>
      </c>
      <c r="F15" s="14" t="s">
        <v>106</v>
      </c>
      <c r="G15" s="14"/>
    </row>
    <row r="16" spans="1:10">
      <c r="B16" s="6" t="s">
        <v>112</v>
      </c>
      <c r="C16" s="6">
        <v>9</v>
      </c>
      <c r="D16" s="6">
        <v>139</v>
      </c>
    </row>
    <row r="19" spans="1:4">
      <c r="B19" s="15" t="s">
        <v>95</v>
      </c>
      <c r="C19" s="15" t="s">
        <v>106</v>
      </c>
      <c r="D19" s="2">
        <v>7</v>
      </c>
    </row>
    <row r="20" spans="1:4">
      <c r="B20" s="15" t="s">
        <v>74</v>
      </c>
      <c r="C20" s="15">
        <f>INDEX(B10:D16,5,3)</f>
        <v>124</v>
      </c>
      <c r="D20" s="2">
        <f>INDEX(B10:D16,D19,2)</f>
        <v>9</v>
      </c>
    </row>
    <row r="22" spans="1:4">
      <c r="A22" s="16" t="s">
        <v>113</v>
      </c>
      <c r="B22" s="16" t="s">
        <v>114</v>
      </c>
      <c r="C22" s="16" t="s">
        <v>115</v>
      </c>
    </row>
    <row r="23" spans="1:4">
      <c r="B23" s="17">
        <v>5</v>
      </c>
      <c r="C23" s="17">
        <v>3</v>
      </c>
    </row>
  </sheetData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G11"/>
  <sheetViews>
    <sheetView workbookViewId="0">
      <selection activeCell="F4" sqref="F4"/>
    </sheetView>
  </sheetViews>
  <sheetFormatPr defaultColWidth="8.81640625" defaultRowHeight="20.5"/>
  <cols>
    <col min="1" max="1" width="14.7265625" style="2" customWidth="1"/>
    <col min="2" max="2" width="19" style="2" customWidth="1"/>
    <col min="3" max="3" width="12.26953125" style="2" customWidth="1"/>
    <col min="4" max="4" width="10.26953125" style="2" customWidth="1"/>
    <col min="5" max="5" width="12" style="2" customWidth="1"/>
    <col min="6" max="6" width="20.453125" style="2" customWidth="1"/>
    <col min="7" max="7" width="19.26953125" style="2" customWidth="1"/>
    <col min="8" max="16384" width="8.81640625" style="2"/>
  </cols>
  <sheetData>
    <row r="1" spans="1:7" s="1" customFormat="1" ht="20">
      <c r="A1" s="1" t="s">
        <v>0</v>
      </c>
      <c r="B1" s="1" t="s">
        <v>116</v>
      </c>
      <c r="F1" s="1" t="s">
        <v>117</v>
      </c>
      <c r="G1" s="1" t="s">
        <v>118</v>
      </c>
    </row>
    <row r="2" spans="1:7">
      <c r="A2" s="2">
        <v>1</v>
      </c>
      <c r="B2" s="2" t="s">
        <v>119</v>
      </c>
      <c r="C2" s="1"/>
      <c r="D2" s="1"/>
      <c r="E2" s="1"/>
      <c r="F2" s="1" t="s">
        <v>120</v>
      </c>
      <c r="G2" s="2">
        <f>MATCH(F2,B2:B11,0)</f>
        <v>5</v>
      </c>
    </row>
    <row r="3" spans="1:7">
      <c r="A3" s="2">
        <v>2</v>
      </c>
      <c r="B3" s="2" t="s">
        <v>100</v>
      </c>
    </row>
    <row r="4" spans="1:7">
      <c r="A4" s="2">
        <v>3</v>
      </c>
      <c r="B4" s="2" t="s">
        <v>107</v>
      </c>
    </row>
    <row r="5" spans="1:7">
      <c r="A5" s="2">
        <v>4</v>
      </c>
      <c r="B5" s="2" t="s">
        <v>97</v>
      </c>
    </row>
    <row r="6" spans="1:7">
      <c r="A6" s="2">
        <v>5</v>
      </c>
      <c r="B6" s="2" t="s">
        <v>120</v>
      </c>
    </row>
    <row r="7" spans="1:7">
      <c r="A7" s="2">
        <v>6</v>
      </c>
      <c r="B7" s="2" t="s">
        <v>121</v>
      </c>
    </row>
    <row r="8" spans="1:7">
      <c r="A8" s="2">
        <v>7</v>
      </c>
      <c r="B8" s="2" t="s">
        <v>122</v>
      </c>
      <c r="G8"/>
    </row>
    <row r="9" spans="1:7">
      <c r="A9" s="2">
        <v>8</v>
      </c>
      <c r="B9" s="2" t="s">
        <v>123</v>
      </c>
    </row>
    <row r="10" spans="1:7">
      <c r="A10" s="2">
        <v>9</v>
      </c>
      <c r="B10" s="2" t="s">
        <v>124</v>
      </c>
    </row>
    <row r="11" spans="1:7">
      <c r="A11" s="2">
        <v>10</v>
      </c>
      <c r="B11" s="2" t="s">
        <v>125</v>
      </c>
    </row>
  </sheetData>
  <dataValidations count="1">
    <dataValidation type="list" allowBlank="1" showInputMessage="1" showErrorMessage="1" sqref="F2 F4" xr:uid="{00000000-0002-0000-0B00-000000000000}">
      <formula1>$B$2:$B$11</formula1>
    </dataValidation>
  </dataValidations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79992065187536243"/>
  </sheetPr>
  <dimension ref="B2:P14"/>
  <sheetViews>
    <sheetView workbookViewId="0"/>
  </sheetViews>
  <sheetFormatPr defaultColWidth="8.81640625" defaultRowHeight="20.5"/>
  <cols>
    <col min="1" max="1" width="8.81640625" style="2"/>
    <col min="2" max="2" width="9.26953125" style="2" customWidth="1"/>
    <col min="3" max="3" width="15.08984375" style="2" customWidth="1"/>
    <col min="4" max="4" width="12.26953125" style="2" customWidth="1"/>
    <col min="5" max="5" width="11.7265625" style="2" customWidth="1"/>
    <col min="6" max="6" width="14.26953125" style="2" customWidth="1"/>
    <col min="7" max="7" width="13.26953125" style="2" customWidth="1"/>
    <col min="8" max="8" width="8.81640625" style="2"/>
    <col min="9" max="10" width="15.26953125" style="2" customWidth="1"/>
    <col min="11" max="11" width="14.453125" style="2" customWidth="1"/>
    <col min="12" max="12" width="14.7265625" style="2" customWidth="1"/>
    <col min="13" max="16384" width="8.81640625" style="2"/>
  </cols>
  <sheetData>
    <row r="2" spans="2:16" s="1" customFormat="1" ht="20"/>
    <row r="3" spans="2:16">
      <c r="D3" s="62" t="s">
        <v>126</v>
      </c>
      <c r="E3" s="62"/>
      <c r="F3" s="62"/>
      <c r="G3" s="62"/>
    </row>
    <row r="4" spans="2:16">
      <c r="B4" s="4" t="s">
        <v>0</v>
      </c>
      <c r="C4" s="4" t="s">
        <v>10</v>
      </c>
      <c r="D4" s="4" t="s">
        <v>127</v>
      </c>
      <c r="E4" s="3" t="s">
        <v>128</v>
      </c>
      <c r="F4" s="3" t="s">
        <v>129</v>
      </c>
      <c r="G4" s="3" t="s">
        <v>130</v>
      </c>
      <c r="H4" s="1"/>
    </row>
    <row r="5" spans="2:16">
      <c r="B5" s="5">
        <v>1</v>
      </c>
      <c r="C5" s="6" t="s">
        <v>131</v>
      </c>
      <c r="D5" s="6">
        <v>50</v>
      </c>
      <c r="E5" s="6">
        <v>73</v>
      </c>
      <c r="F5" s="6">
        <v>63</v>
      </c>
      <c r="G5" s="6">
        <v>83</v>
      </c>
      <c r="I5" s="7" t="s">
        <v>132</v>
      </c>
      <c r="J5" s="8"/>
      <c r="K5"/>
      <c r="L5"/>
      <c r="M5"/>
      <c r="N5"/>
      <c r="O5"/>
      <c r="P5"/>
    </row>
    <row r="6" spans="2:16">
      <c r="B6" s="5">
        <v>2</v>
      </c>
      <c r="C6" s="6" t="s">
        <v>133</v>
      </c>
      <c r="D6" s="6">
        <v>54</v>
      </c>
      <c r="E6" s="6">
        <v>87</v>
      </c>
      <c r="F6" s="6">
        <v>45</v>
      </c>
      <c r="G6" s="6">
        <v>51</v>
      </c>
      <c r="I6" s="9" t="s">
        <v>127</v>
      </c>
      <c r="J6" s="8"/>
      <c r="K6"/>
      <c r="L6"/>
      <c r="M6"/>
      <c r="N6"/>
      <c r="O6"/>
      <c r="P6"/>
    </row>
    <row r="7" spans="2:16">
      <c r="B7" s="5">
        <v>3</v>
      </c>
      <c r="C7" s="6" t="s">
        <v>134</v>
      </c>
      <c r="D7" s="6">
        <v>81</v>
      </c>
      <c r="E7" s="6">
        <v>91</v>
      </c>
      <c r="F7" s="6">
        <v>58</v>
      </c>
      <c r="G7" s="6">
        <v>47</v>
      </c>
      <c r="I7" s="9" t="s">
        <v>128</v>
      </c>
      <c r="J7" s="8"/>
      <c r="K7"/>
      <c r="L7"/>
      <c r="M7"/>
      <c r="N7"/>
      <c r="O7"/>
      <c r="P7"/>
    </row>
    <row r="8" spans="2:16">
      <c r="B8" s="5">
        <v>4</v>
      </c>
      <c r="C8" s="6" t="s">
        <v>135</v>
      </c>
      <c r="D8" s="6">
        <v>54</v>
      </c>
      <c r="E8" s="6">
        <v>83</v>
      </c>
      <c r="F8" s="6">
        <v>88</v>
      </c>
      <c r="G8" s="6">
        <v>69</v>
      </c>
      <c r="I8" s="9" t="s">
        <v>129</v>
      </c>
      <c r="J8" s="8"/>
      <c r="K8"/>
      <c r="L8"/>
      <c r="M8"/>
      <c r="N8"/>
      <c r="O8"/>
      <c r="P8"/>
    </row>
    <row r="9" spans="2:16">
      <c r="B9" s="5">
        <v>5</v>
      </c>
      <c r="C9" s="6" t="s">
        <v>12</v>
      </c>
      <c r="D9" s="6">
        <v>83</v>
      </c>
      <c r="E9" s="6">
        <v>69</v>
      </c>
      <c r="F9" s="6">
        <v>47</v>
      </c>
      <c r="G9" s="6">
        <v>46</v>
      </c>
      <c r="I9" s="9" t="s">
        <v>130</v>
      </c>
      <c r="J9" s="8"/>
      <c r="K9"/>
      <c r="L9"/>
      <c r="M9"/>
      <c r="N9"/>
      <c r="O9"/>
      <c r="P9"/>
    </row>
    <row r="10" spans="2:16">
      <c r="B10" s="5">
        <v>6</v>
      </c>
      <c r="C10" s="6" t="s">
        <v>136</v>
      </c>
      <c r="D10" s="6">
        <v>67</v>
      </c>
      <c r="E10" s="6">
        <v>58</v>
      </c>
      <c r="F10" s="6">
        <v>65</v>
      </c>
      <c r="G10" s="6">
        <v>74</v>
      </c>
      <c r="J10"/>
      <c r="K10"/>
      <c r="L10"/>
      <c r="M10"/>
      <c r="N10"/>
      <c r="O10"/>
      <c r="P10"/>
    </row>
    <row r="11" spans="2:16">
      <c r="B11" s="5">
        <v>7</v>
      </c>
      <c r="C11" s="6" t="s">
        <v>137</v>
      </c>
      <c r="D11" s="6">
        <v>95</v>
      </c>
      <c r="E11" s="6">
        <v>68</v>
      </c>
      <c r="F11" s="6">
        <v>70</v>
      </c>
      <c r="G11" s="6">
        <v>83</v>
      </c>
    </row>
    <row r="12" spans="2:16">
      <c r="B12" s="5">
        <v>8</v>
      </c>
      <c r="C12" s="6" t="s">
        <v>138</v>
      </c>
      <c r="D12" s="6">
        <v>90</v>
      </c>
      <c r="E12" s="6">
        <v>88</v>
      </c>
      <c r="F12" s="6">
        <v>80</v>
      </c>
      <c r="G12" s="6">
        <v>70</v>
      </c>
    </row>
    <row r="13" spans="2:16">
      <c r="B13" s="5">
        <v>9</v>
      </c>
      <c r="C13" s="6" t="s">
        <v>139</v>
      </c>
      <c r="D13" s="6">
        <v>57</v>
      </c>
      <c r="E13" s="6">
        <v>75</v>
      </c>
      <c r="F13" s="6">
        <v>64</v>
      </c>
      <c r="G13" s="6">
        <v>95</v>
      </c>
    </row>
    <row r="14" spans="2:16">
      <c r="B14" s="5">
        <v>10</v>
      </c>
      <c r="C14" s="6" t="s">
        <v>140</v>
      </c>
      <c r="D14" s="6">
        <v>67</v>
      </c>
      <c r="E14" s="6">
        <v>50</v>
      </c>
      <c r="F14" s="6">
        <v>64</v>
      </c>
      <c r="G14" s="6">
        <v>84</v>
      </c>
    </row>
  </sheetData>
  <mergeCells count="1"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Mathematical function</vt:lpstr>
      <vt:lpstr>Absolute reference</vt:lpstr>
      <vt:lpstr>Relative reference</vt:lpstr>
      <vt:lpstr>Mixed Reference</vt:lpstr>
      <vt:lpstr>Names in Formula</vt:lpstr>
      <vt:lpstr>Cell Names</vt:lpstr>
      <vt:lpstr>Conditionals</vt:lpstr>
      <vt:lpstr>Conditional Formatting</vt:lpstr>
      <vt:lpstr>Square root</vt:lpstr>
      <vt:lpstr>Tracing</vt:lpstr>
      <vt:lpstr>Index function</vt:lpstr>
      <vt:lpstr>Match function</vt:lpstr>
      <vt:lpstr>Index Match</vt:lpstr>
      <vt:lpstr>Div_Rate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</dc:creator>
  <cp:lastModifiedBy>SHARRON JASMINE V</cp:lastModifiedBy>
  <dcterms:created xsi:type="dcterms:W3CDTF">2022-09-04T11:53:00Z</dcterms:created>
  <dcterms:modified xsi:type="dcterms:W3CDTF">2026-01-07T05:05:54Z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C96202A949234FD7ABBFB6E989E517ED</vt:lpwstr>
  </property>
  <property fmtid="{D5CDD505-2E9C-101B-9397-08002B2CF9AE}" pid="3" name="KSOProductBuildVer">
    <vt:lpwstr>1033-11.2.0.11537</vt:lpwstr>
  </property>
</Properties>
</file>